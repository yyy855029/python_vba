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黃子瑋\Desktop\python作品\python_vba\Black-Sholes表單\"/>
    </mc:Choice>
  </mc:AlternateContent>
  <xr:revisionPtr revIDLastSave="0" documentId="13_ncr:1_{546EDE83-C236-479B-8381-CE9C0D8F6E79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Sheet2" sheetId="2" r:id="rId2"/>
    <sheet name="Sheet3" sheetId="3" r:id="rId3"/>
  </sheets>
  <calcPr calcId="191029"/>
</workbook>
</file>

<file path=xl/calcChain.xml><?xml version="1.0" encoding="utf-8"?>
<calcChain xmlns="http://schemas.openxmlformats.org/spreadsheetml/2006/main">
  <c r="Q37" i="1" l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17" i="1"/>
  <c r="P20" i="1"/>
  <c r="E25" i="1"/>
  <c r="E24" i="1" s="1"/>
  <c r="E23" i="1" s="1"/>
  <c r="E22" i="1" s="1"/>
  <c r="E21" i="1" s="1"/>
  <c r="E20" i="1" s="1"/>
  <c r="E19" i="1" s="1"/>
  <c r="E18" i="1" s="1"/>
  <c r="E17" i="1" s="1"/>
  <c r="F27" i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E27" i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D27" i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B27" i="1"/>
  <c r="B26" i="1" s="1"/>
  <c r="B25" i="1" s="1"/>
  <c r="B24" i="1" s="1"/>
  <c r="B23" i="1" s="1"/>
  <c r="B22" i="1" s="1"/>
  <c r="B21" i="1" s="1"/>
  <c r="B20" i="1" s="1"/>
  <c r="B19" i="1" s="1"/>
  <c r="B18" i="1" s="1"/>
  <c r="B17" i="1" s="1"/>
  <c r="P17" i="1" s="1"/>
  <c r="Q16" i="1"/>
  <c r="P16" i="1"/>
  <c r="D26" i="1" l="1"/>
  <c r="D25" i="1" s="1"/>
  <c r="D24" i="1" s="1"/>
  <c r="D23" i="1" s="1"/>
  <c r="D22" i="1" s="1"/>
  <c r="D21" i="1" s="1"/>
  <c r="D20" i="1" s="1"/>
  <c r="D19" i="1" s="1"/>
  <c r="D18" i="1" s="1"/>
  <c r="D17" i="1" s="1"/>
  <c r="C26" i="1"/>
  <c r="C25" i="1" s="1"/>
  <c r="C24" i="1" s="1"/>
  <c r="C23" i="1" s="1"/>
  <c r="C22" i="1" s="1"/>
  <c r="C21" i="1" s="1"/>
  <c r="C20" i="1" s="1"/>
  <c r="C19" i="1" s="1"/>
  <c r="C18" i="1" s="1"/>
  <c r="C17" i="1" s="1"/>
  <c r="F28" i="1"/>
  <c r="F29" i="1" s="1"/>
  <c r="F30" i="1" s="1"/>
  <c r="F31" i="1" s="1"/>
  <c r="F32" i="1" s="1"/>
  <c r="F33" i="1" s="1"/>
  <c r="F34" i="1" s="1"/>
  <c r="F35" i="1" s="1"/>
  <c r="F36" i="1" s="1"/>
  <c r="F37" i="1" s="1"/>
  <c r="P23" i="1"/>
  <c r="B28" i="1"/>
  <c r="P24" i="1"/>
  <c r="P25" i="1"/>
  <c r="P19" i="1"/>
  <c r="P26" i="1"/>
  <c r="P18" i="1"/>
  <c r="P27" i="1"/>
  <c r="P21" i="1"/>
  <c r="P22" i="1"/>
  <c r="P28" i="1" l="1"/>
  <c r="B29" i="1"/>
  <c r="P29" i="1" l="1"/>
  <c r="B30" i="1"/>
  <c r="B31" i="1" l="1"/>
  <c r="P30" i="1"/>
  <c r="B32" i="1" l="1"/>
  <c r="P31" i="1"/>
  <c r="B33" i="1" l="1"/>
  <c r="P32" i="1"/>
  <c r="B34" i="1" l="1"/>
  <c r="P33" i="1"/>
  <c r="B35" i="1" l="1"/>
  <c r="P34" i="1"/>
  <c r="B36" i="1" l="1"/>
  <c r="P35" i="1"/>
  <c r="B37" i="1" l="1"/>
  <c r="P37" i="1" s="1"/>
  <c r="P36" i="1"/>
</calcChain>
</file>

<file path=xl/sharedStrings.xml><?xml version="1.0" encoding="utf-8"?>
<sst xmlns="http://schemas.openxmlformats.org/spreadsheetml/2006/main" count="44" uniqueCount="31">
  <si>
    <t>Input Initial Value</t>
    <phoneticPr fontId="1" type="noConversion"/>
  </si>
  <si>
    <t>歐式買/賣權</t>
    <phoneticPr fontId="1" type="noConversion"/>
  </si>
  <si>
    <t>標的市價(S)</t>
    <phoneticPr fontId="1" type="noConversion"/>
  </si>
  <si>
    <t>履約價(K)</t>
    <phoneticPr fontId="1" type="noConversion"/>
  </si>
  <si>
    <t>短期利率(r)</t>
    <phoneticPr fontId="1" type="noConversion"/>
  </si>
  <si>
    <t>圖表選項</t>
    <phoneticPr fontId="1" type="noConversion"/>
  </si>
  <si>
    <t>Y軸</t>
    <phoneticPr fontId="1" type="noConversion"/>
  </si>
  <si>
    <t>X軸</t>
    <phoneticPr fontId="1" type="noConversion"/>
  </si>
  <si>
    <t>存續期間(T)年</t>
    <phoneticPr fontId="1" type="noConversion"/>
  </si>
  <si>
    <t>B-S理論價</t>
  </si>
  <si>
    <t>B-S理論價</t>
    <phoneticPr fontId="1" type="noConversion"/>
  </si>
  <si>
    <t>變動幅度</t>
    <phoneticPr fontId="1" type="noConversion"/>
  </si>
  <si>
    <t>Delta</t>
  </si>
  <si>
    <t>Delta</t>
    <phoneticPr fontId="1" type="noConversion"/>
  </si>
  <si>
    <t>Gamma</t>
  </si>
  <si>
    <t>Gamma</t>
    <phoneticPr fontId="1" type="noConversion"/>
  </si>
  <si>
    <t>Theta</t>
  </si>
  <si>
    <t>Theta</t>
    <phoneticPr fontId="1" type="noConversion"/>
  </si>
  <si>
    <t>Vega</t>
  </si>
  <si>
    <t>Vega</t>
    <phoneticPr fontId="1" type="noConversion"/>
  </si>
  <si>
    <t>Rho</t>
  </si>
  <si>
    <t>Rho</t>
    <phoneticPr fontId="1" type="noConversion"/>
  </si>
  <si>
    <t>X、Y軸菜單</t>
    <phoneticPr fontId="1" type="noConversion"/>
  </si>
  <si>
    <t>圖表資料</t>
    <phoneticPr fontId="1" type="noConversion"/>
  </si>
  <si>
    <t>Call</t>
  </si>
  <si>
    <t>B-S理論價</t>
    <phoneticPr fontId="1" type="noConversion"/>
  </si>
  <si>
    <t>報酬率波動度(σ)</t>
    <phoneticPr fontId="1" type="noConversion"/>
  </si>
  <si>
    <t>Implied Volatility</t>
    <phoneticPr fontId="1" type="noConversion"/>
  </si>
  <si>
    <t>選擇權市價</t>
    <phoneticPr fontId="1" type="noConversion"/>
  </si>
  <si>
    <t>隱含波動度(牛頓法)</t>
    <phoneticPr fontId="1" type="noConversion"/>
  </si>
  <si>
    <t>隱含波動度(二分法)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</si>
</sst>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0" fontId="2" fillId="0" borderId="0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183004</xdr:colOff>
      <xdr:row>8</xdr:row>
      <xdr:rowOff>46953</xdr:rowOff>
    </xdr:from>
    <xdr:to>
      <xdr:col>11</xdr:col>
      <xdr:colOff>1264831</xdr:colOff>
      <xdr:row>10</xdr:row>
      <xdr:rowOff>203210</xdr:rowOff>
    </xdr:to>
    <xdr:sp macro="[0]!run_bs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880895" y="1793203"/>
          <a:ext cx="1081827" cy="59282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800">
              <a:solidFill>
                <a:sysClr val="windowText" lastClr="000000"/>
              </a:solidFill>
            </a:rPr>
            <a:t>Push</a:t>
          </a:r>
          <a:endParaRPr lang="zh-TW" alt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5</xdr:col>
      <xdr:colOff>35771</xdr:colOff>
      <xdr:row>1</xdr:row>
      <xdr:rowOff>44718</xdr:rowOff>
    </xdr:from>
    <xdr:to>
      <xdr:col>9</xdr:col>
      <xdr:colOff>787039</xdr:colOff>
      <xdr:row>12</xdr:row>
      <xdr:rowOff>116266</xdr:rowOff>
    </xdr:to>
    <xdr:pic>
      <xdr:nvPicPr>
        <xdr:cNvPr id="11" name="Plot">
          <a:extLst>
            <a:ext uri="{FF2B5EF4-FFF2-40B4-BE49-F238E27FC236}">
              <a16:creationId xmlns:a16="http://schemas.microsoft.com/office/drawing/2014/main" id="{AC8F9003-A535-4C0E-B82A-5503FE804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6371" y="260618"/>
          <a:ext cx="5278818" cy="2446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Y_txt"/>
  <dimension ref="B2:Q37"/>
  <sheetViews>
    <sheetView tabSelected="1" zoomScale="64" zoomScaleNormal="64" workbookViewId="0">
      <selection activeCell="K6" sqref="K6"/>
    </sheetView>
  </sheetViews>
  <sheetFormatPr defaultRowHeight="17" x14ac:dyDescent="0.4"/>
  <cols>
    <col min="2" max="2" width="18.26953125" bestFit="1" customWidth="1"/>
    <col min="3" max="3" width="13.26953125" bestFit="1" customWidth="1"/>
    <col min="4" max="4" width="15.7265625" bestFit="1" customWidth="1"/>
    <col min="5" max="5" width="12.7265625" bestFit="1" customWidth="1"/>
    <col min="6" max="6" width="18.26953125" bestFit="1" customWidth="1"/>
    <col min="7" max="7" width="12.7265625" bestFit="1" customWidth="1"/>
    <col min="8" max="8" width="17.36328125" bestFit="1" customWidth="1"/>
    <col min="9" max="10" width="16.453125" bestFit="1" customWidth="1"/>
    <col min="11" max="11" width="17.36328125" bestFit="1" customWidth="1"/>
    <col min="12" max="12" width="21.7265625" bestFit="1" customWidth="1"/>
    <col min="13" max="13" width="16.453125" bestFit="1" customWidth="1"/>
    <col min="15" max="15" width="18.26953125" bestFit="1" customWidth="1"/>
    <col min="16" max="16" width="13.26953125" bestFit="1" customWidth="1"/>
    <col min="17" max="17" width="16.453125" bestFit="1" customWidth="1"/>
  </cols>
  <sheetData>
    <row r="2" spans="2:17" x14ac:dyDescent="0.4"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2:17" x14ac:dyDescent="0.4">
      <c r="B3" s="15" t="s">
        <v>0</v>
      </c>
      <c r="C3" s="15"/>
      <c r="D3" s="1"/>
      <c r="E3" s="1"/>
      <c r="F3" s="1"/>
      <c r="G3" s="1"/>
      <c r="H3" s="1"/>
      <c r="I3" s="1"/>
      <c r="J3" s="1"/>
      <c r="K3" s="1"/>
      <c r="L3" s="15" t="s">
        <v>27</v>
      </c>
      <c r="M3" s="15"/>
      <c r="N3" s="1"/>
      <c r="O3" s="1"/>
      <c r="P3" s="1"/>
      <c r="Q3" s="1"/>
    </row>
    <row r="4" spans="2:17" x14ac:dyDescent="0.4">
      <c r="B4" s="2" t="s">
        <v>1</v>
      </c>
      <c r="C4" s="3" t="s">
        <v>24</v>
      </c>
      <c r="D4" s="1"/>
      <c r="E4" s="1"/>
      <c r="F4" s="1"/>
      <c r="G4" s="1"/>
      <c r="H4" s="1"/>
      <c r="I4" s="1"/>
      <c r="J4" s="1"/>
      <c r="K4" s="1"/>
      <c r="L4" s="2" t="s">
        <v>28</v>
      </c>
      <c r="M4" s="3">
        <v>5</v>
      </c>
      <c r="N4" s="1"/>
      <c r="O4" s="1"/>
      <c r="P4" s="1"/>
      <c r="Q4" s="1"/>
    </row>
    <row r="5" spans="2:17" x14ac:dyDescent="0.4">
      <c r="B5" s="2" t="s">
        <v>2</v>
      </c>
      <c r="C5" s="3">
        <v>25</v>
      </c>
      <c r="D5" s="1"/>
      <c r="E5" s="1"/>
      <c r="F5" s="1"/>
      <c r="G5" s="1"/>
      <c r="H5" s="1"/>
      <c r="I5" s="1"/>
      <c r="J5" s="1"/>
      <c r="K5" s="1"/>
      <c r="L5" s="2" t="s">
        <v>29</v>
      </c>
      <c r="M5" s="4">
        <v>0.70921994047824977</v>
      </c>
      <c r="N5" s="1"/>
      <c r="O5" s="1"/>
      <c r="P5" s="1"/>
      <c r="Q5" s="1"/>
    </row>
    <row r="6" spans="2:17" x14ac:dyDescent="0.4">
      <c r="B6" s="2" t="s">
        <v>3</v>
      </c>
      <c r="C6" s="3">
        <v>25</v>
      </c>
      <c r="D6" s="1"/>
      <c r="E6" s="1"/>
      <c r="F6" s="1"/>
      <c r="G6" s="1"/>
      <c r="H6" s="1"/>
      <c r="I6" s="1"/>
      <c r="J6" s="1"/>
      <c r="K6" s="1"/>
      <c r="L6" s="2" t="s">
        <v>30</v>
      </c>
      <c r="M6" s="4">
        <v>0.70921998689316113</v>
      </c>
      <c r="N6" s="1"/>
      <c r="O6" s="1"/>
      <c r="P6" s="1"/>
      <c r="Q6" s="1"/>
    </row>
    <row r="7" spans="2:17" x14ac:dyDescent="0.4">
      <c r="B7" s="2" t="s">
        <v>8</v>
      </c>
      <c r="C7" s="3">
        <v>0.5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2:17" x14ac:dyDescent="0.4">
      <c r="B8" s="2" t="s">
        <v>4</v>
      </c>
      <c r="C8" s="4">
        <v>0.01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2:17" x14ac:dyDescent="0.4">
      <c r="B9" s="2" t="s">
        <v>26</v>
      </c>
      <c r="C9" s="4">
        <v>0.25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2:17" x14ac:dyDescent="0.4">
      <c r="B10" s="9"/>
      <c r="C10" s="10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2:17" x14ac:dyDescent="0.4">
      <c r="B11" s="15" t="s">
        <v>5</v>
      </c>
      <c r="C11" s="15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2:17" x14ac:dyDescent="0.4">
      <c r="B12" s="2" t="s">
        <v>6</v>
      </c>
      <c r="C12" s="3" t="s">
        <v>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2:17" x14ac:dyDescent="0.4">
      <c r="B13" s="2" t="s">
        <v>7</v>
      </c>
      <c r="C13" s="3" t="s">
        <v>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2:17" x14ac:dyDescent="0.4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5" t="s">
        <v>22</v>
      </c>
      <c r="P14" s="13" t="s">
        <v>23</v>
      </c>
      <c r="Q14" s="14"/>
    </row>
    <row r="15" spans="2:17" x14ac:dyDescent="0.4">
      <c r="B15" s="5" t="s">
        <v>2</v>
      </c>
      <c r="C15" s="5" t="s">
        <v>3</v>
      </c>
      <c r="D15" s="5" t="s">
        <v>8</v>
      </c>
      <c r="E15" s="5" t="s">
        <v>4</v>
      </c>
      <c r="F15" s="5" t="s">
        <v>26</v>
      </c>
      <c r="G15" s="11" t="s">
        <v>10</v>
      </c>
      <c r="H15" s="11" t="s">
        <v>11</v>
      </c>
      <c r="I15" s="11" t="s">
        <v>13</v>
      </c>
      <c r="J15" s="11" t="s">
        <v>15</v>
      </c>
      <c r="K15" s="11" t="s">
        <v>17</v>
      </c>
      <c r="L15" s="11" t="s">
        <v>19</v>
      </c>
      <c r="M15" s="11" t="s">
        <v>21</v>
      </c>
      <c r="N15" s="1"/>
      <c r="O15" s="2" t="s">
        <v>2</v>
      </c>
      <c r="P15" s="2" t="s">
        <v>7</v>
      </c>
      <c r="Q15" s="2" t="s">
        <v>6</v>
      </c>
    </row>
    <row r="16" spans="2:17" x14ac:dyDescent="0.4">
      <c r="B16" s="6">
        <v>1</v>
      </c>
      <c r="C16" s="6">
        <v>0</v>
      </c>
      <c r="D16" s="6">
        <v>0</v>
      </c>
      <c r="E16" s="4">
        <v>0</v>
      </c>
      <c r="F16" s="4">
        <v>0</v>
      </c>
      <c r="G16" s="12"/>
      <c r="H16" s="12"/>
      <c r="I16" s="12"/>
      <c r="J16" s="12"/>
      <c r="K16" s="12"/>
      <c r="L16" s="12"/>
      <c r="M16" s="12"/>
      <c r="N16" s="1"/>
      <c r="O16" s="2" t="s">
        <v>3</v>
      </c>
      <c r="P16" s="2" t="str">
        <f>C13</f>
        <v>標的市價(S)</v>
      </c>
      <c r="Q16" s="2" t="str">
        <f>C12</f>
        <v>B-S理論價</v>
      </c>
    </row>
    <row r="17" spans="2:17" x14ac:dyDescent="0.4">
      <c r="B17" s="6">
        <f>IF(B18-$B$16&lt;0,0,B18-$B$16)</f>
        <v>15</v>
      </c>
      <c r="C17" s="6">
        <f>IF(C18-$C$16&lt;0,0,C18-$C$16)</f>
        <v>25</v>
      </c>
      <c r="D17" s="6">
        <f>IF(D18-$D$16&lt;0,0,D18-$D$16)</f>
        <v>0.5</v>
      </c>
      <c r="E17" s="4">
        <f>IF(E18-$E$16&lt;0,0,E18-$E$16)</f>
        <v>0.01</v>
      </c>
      <c r="F17" s="4">
        <f>IF(F18-$F$16&lt;0,0,F18-$F$16)</f>
        <v>0.25</v>
      </c>
      <c r="G17" s="3">
        <v>2.1043867571333003E-3</v>
      </c>
      <c r="H17" s="3">
        <f>G17-$G$27</f>
        <v>-1.817348741612913</v>
      </c>
      <c r="I17" s="3">
        <v>2.7771616643899426E-3</v>
      </c>
      <c r="J17" s="3">
        <v>3.2184120039225679E-3</v>
      </c>
      <c r="K17" s="3">
        <v>-2.3024989784667712E-2</v>
      </c>
      <c r="L17" s="3">
        <v>9.0517837610322199E-2</v>
      </c>
      <c r="M17" s="3">
        <v>1.9776519104357917E-2</v>
      </c>
      <c r="N17" s="1"/>
      <c r="O17" s="2" t="s">
        <v>8</v>
      </c>
      <c r="P17" s="6">
        <f>HLOOKUP($C$13,$B$15:$M$37,3,0)</f>
        <v>15</v>
      </c>
      <c r="Q17" s="3">
        <f>HLOOKUP($C$12,$B$15:$M$37,3,0)</f>
        <v>2.1043867571333003E-3</v>
      </c>
    </row>
    <row r="18" spans="2:17" x14ac:dyDescent="0.4">
      <c r="B18" s="6">
        <f t="shared" ref="B18:B26" si="0">IF(B19-$B$16&lt;0,0,B19-$B$16)</f>
        <v>16</v>
      </c>
      <c r="C18" s="6">
        <f t="shared" ref="C18:C26" si="1">IF(C19-$C$16&lt;0,0,C19-$C$16)</f>
        <v>25</v>
      </c>
      <c r="D18" s="6">
        <f t="shared" ref="D18:D26" si="2">IF(D19-$D$16&lt;0,0,D19-$D$16)</f>
        <v>0.5</v>
      </c>
      <c r="E18" s="4">
        <f t="shared" ref="E18:E25" si="3">IF(E19-$E$16&lt;0,0,E19-$E$16)</f>
        <v>0.01</v>
      </c>
      <c r="F18" s="4">
        <f t="shared" ref="F18:F26" si="4">IF(F19-$F$16&lt;0,0,F19-$F$16)</f>
        <v>0.25</v>
      </c>
      <c r="G18" s="3">
        <v>7.1263365582042021E-3</v>
      </c>
      <c r="H18" s="3">
        <f t="shared" ref="H18:H37" si="5">G18-$G$27</f>
        <v>-1.8123267918118422</v>
      </c>
      <c r="I18" s="3">
        <v>8.0221013694020144E-3</v>
      </c>
      <c r="J18" s="3">
        <v>7.7685564738044569E-3</v>
      </c>
      <c r="K18" s="3">
        <v>-6.3360724643957936E-2</v>
      </c>
      <c r="L18" s="3">
        <v>0.24859380716174265</v>
      </c>
      <c r="M18" s="3">
        <v>6.0613642676114014E-2</v>
      </c>
      <c r="N18" s="1"/>
      <c r="O18" s="2" t="s">
        <v>4</v>
      </c>
      <c r="P18" s="6">
        <f>HLOOKUP($C$13,$B$15:$M$37,4,0)</f>
        <v>16</v>
      </c>
      <c r="Q18" s="3">
        <f>HLOOKUP($C$12,$B$15:$M$37,4,0)</f>
        <v>7.1263365582042021E-3</v>
      </c>
    </row>
    <row r="19" spans="2:17" x14ac:dyDescent="0.4">
      <c r="B19" s="6">
        <f t="shared" si="0"/>
        <v>17</v>
      </c>
      <c r="C19" s="6">
        <f t="shared" si="1"/>
        <v>25</v>
      </c>
      <c r="D19" s="6">
        <f t="shared" si="2"/>
        <v>0.5</v>
      </c>
      <c r="E19" s="4">
        <f t="shared" si="3"/>
        <v>0.01</v>
      </c>
      <c r="F19" s="4">
        <f t="shared" si="4"/>
        <v>0.25</v>
      </c>
      <c r="G19" s="3">
        <v>2.0204992773661445E-2</v>
      </c>
      <c r="H19" s="3">
        <f t="shared" si="5"/>
        <v>-1.799248135596385</v>
      </c>
      <c r="I19" s="3">
        <v>1.9463211641519023E-2</v>
      </c>
      <c r="J19" s="3">
        <v>1.5743594037538805E-2</v>
      </c>
      <c r="K19" s="3">
        <v>-0.14529102970284394</v>
      </c>
      <c r="L19" s="3">
        <v>0.56873733460608922</v>
      </c>
      <c r="M19" s="3">
        <v>0.15533480256608098</v>
      </c>
      <c r="N19" s="1"/>
      <c r="O19" s="2" t="s">
        <v>26</v>
      </c>
      <c r="P19" s="6">
        <f>HLOOKUP($C$13,$B$15:$M$37,5,0)</f>
        <v>17</v>
      </c>
      <c r="Q19" s="3">
        <f>HLOOKUP($C$12,$B$15:$M$37,5,0)</f>
        <v>2.0204992773661445E-2</v>
      </c>
    </row>
    <row r="20" spans="2:17" x14ac:dyDescent="0.4">
      <c r="B20" s="6">
        <f t="shared" si="0"/>
        <v>18</v>
      </c>
      <c r="C20" s="6">
        <f t="shared" si="1"/>
        <v>25</v>
      </c>
      <c r="D20" s="6">
        <f t="shared" si="2"/>
        <v>0.5</v>
      </c>
      <c r="E20" s="4">
        <f t="shared" si="3"/>
        <v>0.01</v>
      </c>
      <c r="F20" s="4">
        <f t="shared" si="4"/>
        <v>0.25</v>
      </c>
      <c r="G20" s="3">
        <v>4.9348218685785761E-2</v>
      </c>
      <c r="H20" s="3">
        <f t="shared" si="5"/>
        <v>-1.7701049096842607</v>
      </c>
      <c r="I20" s="3">
        <v>4.0786866109371787E-2</v>
      </c>
      <c r="J20" s="3">
        <v>2.7513605319156618E-2</v>
      </c>
      <c r="K20" s="3">
        <v>-0.2854234075692898</v>
      </c>
      <c r="L20" s="3">
        <v>1.1143010154258428</v>
      </c>
      <c r="M20" s="3">
        <v>0.34240768564145319</v>
      </c>
      <c r="N20" s="1"/>
      <c r="O20" s="2" t="s">
        <v>9</v>
      </c>
      <c r="P20" s="6">
        <f>HLOOKUP($C$13,$B$15:$M$37,6,0)</f>
        <v>18</v>
      </c>
      <c r="Q20" s="3">
        <f>HLOOKUP($C$12,$B$15:$M$37,6,0)</f>
        <v>4.9348218685785761E-2</v>
      </c>
    </row>
    <row r="21" spans="2:17" x14ac:dyDescent="0.4">
      <c r="B21" s="6">
        <f t="shared" si="0"/>
        <v>19</v>
      </c>
      <c r="C21" s="6">
        <f t="shared" si="1"/>
        <v>25</v>
      </c>
      <c r="D21" s="6">
        <f t="shared" si="2"/>
        <v>0.5</v>
      </c>
      <c r="E21" s="4">
        <f t="shared" si="3"/>
        <v>0.01</v>
      </c>
      <c r="F21" s="4">
        <f t="shared" si="4"/>
        <v>0.25</v>
      </c>
      <c r="G21" s="3">
        <v>0.10626727271778291</v>
      </c>
      <c r="H21" s="3">
        <f t="shared" si="5"/>
        <v>-1.7131858556522634</v>
      </c>
      <c r="I21" s="3">
        <v>7.5532957634381684E-2</v>
      </c>
      <c r="J21" s="3">
        <v>4.2373300966644073E-2</v>
      </c>
      <c r="K21" s="3">
        <v>-0.49131239075330813</v>
      </c>
      <c r="L21" s="3">
        <v>1.9120952061198142</v>
      </c>
      <c r="M21" s="3">
        <v>0.66442946116773449</v>
      </c>
      <c r="N21" s="1"/>
      <c r="O21" s="2" t="s">
        <v>12</v>
      </c>
      <c r="P21" s="6">
        <f>HLOOKUP($C$13,$B$15:$M$37,7,0)</f>
        <v>19</v>
      </c>
      <c r="Q21" s="3">
        <f>HLOOKUP($C$12,$B$15:$M$37,7,0)</f>
        <v>0.10626727271778291</v>
      </c>
    </row>
    <row r="22" spans="2:17" x14ac:dyDescent="0.4">
      <c r="B22" s="6">
        <f t="shared" si="0"/>
        <v>20</v>
      </c>
      <c r="C22" s="6">
        <f t="shared" si="1"/>
        <v>25</v>
      </c>
      <c r="D22" s="6">
        <f t="shared" si="2"/>
        <v>0.5</v>
      </c>
      <c r="E22" s="4">
        <f t="shared" si="3"/>
        <v>0.01</v>
      </c>
      <c r="F22" s="4">
        <f t="shared" si="4"/>
        <v>0.25</v>
      </c>
      <c r="G22" s="3">
        <v>0.20567130875882444</v>
      </c>
      <c r="H22" s="3">
        <f t="shared" si="5"/>
        <v>-1.6137818196112219</v>
      </c>
      <c r="I22" s="3">
        <v>0.12597663804056808</v>
      </c>
      <c r="J22" s="3">
        <v>5.8541283464763214E-2</v>
      </c>
      <c r="K22" s="3">
        <v>-0.75490465783006555</v>
      </c>
      <c r="L22" s="3">
        <v>2.9270641732381613</v>
      </c>
      <c r="M22" s="3">
        <v>1.1569307260262685</v>
      </c>
      <c r="N22" s="1"/>
      <c r="O22" s="2" t="s">
        <v>14</v>
      </c>
      <c r="P22" s="6">
        <f>HLOOKUP($C$13,$B$15:$M$37,8,0)</f>
        <v>20</v>
      </c>
      <c r="Q22" s="3">
        <f>HLOOKUP($C$12,$B$15:$M$37,8,0)</f>
        <v>0.20567130875882444</v>
      </c>
    </row>
    <row r="23" spans="2:17" x14ac:dyDescent="0.4">
      <c r="B23" s="6">
        <f t="shared" si="0"/>
        <v>21</v>
      </c>
      <c r="C23" s="6">
        <f t="shared" si="1"/>
        <v>25</v>
      </c>
      <c r="D23" s="6">
        <f t="shared" si="2"/>
        <v>0.5</v>
      </c>
      <c r="E23" s="4">
        <f t="shared" si="3"/>
        <v>0.01</v>
      </c>
      <c r="F23" s="4">
        <f t="shared" si="4"/>
        <v>0.25</v>
      </c>
      <c r="G23" s="3">
        <v>0.3635261653977846</v>
      </c>
      <c r="H23" s="3">
        <f t="shared" si="5"/>
        <v>-1.4559269629722618</v>
      </c>
      <c r="I23" s="3">
        <v>0.19225430359454643</v>
      </c>
      <c r="J23" s="3">
        <v>7.3629339972382052E-2</v>
      </c>
      <c r="K23" s="3">
        <v>-1.0514424835952672</v>
      </c>
      <c r="L23" s="3">
        <v>4.0588173659775624</v>
      </c>
      <c r="M23" s="3">
        <v>1.8369071050438452</v>
      </c>
      <c r="N23" s="1"/>
      <c r="O23" s="2" t="s">
        <v>16</v>
      </c>
      <c r="P23" s="6">
        <f>HLOOKUP($C$13,$B$15:$M$37,9,0)</f>
        <v>21</v>
      </c>
      <c r="Q23" s="3">
        <f>HLOOKUP($C$12,$B$15:$M$37,9,0)</f>
        <v>0.3635261653977846</v>
      </c>
    </row>
    <row r="24" spans="2:17" x14ac:dyDescent="0.4">
      <c r="B24" s="6">
        <f t="shared" si="0"/>
        <v>22</v>
      </c>
      <c r="C24" s="6">
        <f t="shared" si="1"/>
        <v>25</v>
      </c>
      <c r="D24" s="6">
        <f t="shared" si="2"/>
        <v>0.5</v>
      </c>
      <c r="E24" s="4">
        <f t="shared" si="3"/>
        <v>0.01</v>
      </c>
      <c r="F24" s="4">
        <f t="shared" si="4"/>
        <v>0.25</v>
      </c>
      <c r="G24" s="3">
        <v>0.59472646343153013</v>
      </c>
      <c r="H24" s="3">
        <f t="shared" si="5"/>
        <v>-1.2247266649385162</v>
      </c>
      <c r="I24" s="3">
        <v>0.27210396050097996</v>
      </c>
      <c r="J24" s="3">
        <v>8.534860332949587E-2</v>
      </c>
      <c r="K24" s="3">
        <v>-1.3448132320345254</v>
      </c>
      <c r="L24" s="3">
        <v>5.1635905014345012</v>
      </c>
      <c r="M24" s="3">
        <v>2.6957803337950144</v>
      </c>
      <c r="N24" s="1"/>
      <c r="O24" s="2" t="s">
        <v>18</v>
      </c>
      <c r="P24" s="6">
        <f>HLOOKUP($C$13,$B$15:$M$37,10,0)</f>
        <v>22</v>
      </c>
      <c r="Q24" s="3">
        <f>HLOOKUP($C$12,$B$15:$M$37,10,0)</f>
        <v>0.59472646343153013</v>
      </c>
    </row>
    <row r="25" spans="2:17" x14ac:dyDescent="0.4">
      <c r="B25" s="6">
        <f t="shared" si="0"/>
        <v>23</v>
      </c>
      <c r="C25" s="6">
        <f t="shared" si="1"/>
        <v>25</v>
      </c>
      <c r="D25" s="6">
        <f t="shared" si="2"/>
        <v>0.5</v>
      </c>
      <c r="E25" s="4">
        <f t="shared" si="3"/>
        <v>0.01</v>
      </c>
      <c r="F25" s="4">
        <f t="shared" si="4"/>
        <v>0.25</v>
      </c>
      <c r="G25" s="3">
        <v>0.91085922767374772</v>
      </c>
      <c r="H25" s="3">
        <f t="shared" si="5"/>
        <v>-0.90859390069629864</v>
      </c>
      <c r="I25" s="3">
        <v>0.36129292648068023</v>
      </c>
      <c r="J25" s="3">
        <v>9.2127750828179616E-2</v>
      </c>
      <c r="K25" s="3">
        <v>-1.5969756616921631</v>
      </c>
      <c r="L25" s="3">
        <v>6.0919475235133786</v>
      </c>
      <c r="M25" s="3">
        <v>3.6994390406909488</v>
      </c>
      <c r="N25" s="1"/>
      <c r="O25" s="2" t="s">
        <v>20</v>
      </c>
      <c r="P25" s="6">
        <f>HLOOKUP($C$13,$B$15:$M$37,11,0)</f>
        <v>23</v>
      </c>
      <c r="Q25" s="3">
        <f>HLOOKUP($C$12,$B$15:$M$37,11,0)</f>
        <v>0.91085922767374772</v>
      </c>
    </row>
    <row r="26" spans="2:17" x14ac:dyDescent="0.4">
      <c r="B26" s="6">
        <f t="shared" si="0"/>
        <v>24</v>
      </c>
      <c r="C26" s="6">
        <f t="shared" si="1"/>
        <v>25</v>
      </c>
      <c r="D26" s="6">
        <f t="shared" si="2"/>
        <v>0.5</v>
      </c>
      <c r="E26" s="4">
        <v>0.01</v>
      </c>
      <c r="F26" s="4">
        <f t="shared" si="4"/>
        <v>0.25</v>
      </c>
      <c r="G26" s="3">
        <v>1.3186582780125011</v>
      </c>
      <c r="H26" s="3">
        <f t="shared" si="5"/>
        <v>-0.50079485035754523</v>
      </c>
      <c r="I26" s="3">
        <v>0.45451923214680834</v>
      </c>
      <c r="J26" s="3">
        <v>9.3419879894934513E-2</v>
      </c>
      <c r="K26" s="3">
        <v>-1.7774558710439303</v>
      </c>
      <c r="L26" s="3">
        <v>6.7262313524352866</v>
      </c>
      <c r="M26" s="3">
        <v>4.7949016467554495</v>
      </c>
      <c r="N26" s="1"/>
      <c r="O26" s="2"/>
      <c r="P26" s="6">
        <f>HLOOKUP($C$13,$B$15:$M$37,12,0)</f>
        <v>24</v>
      </c>
      <c r="Q26" s="3">
        <f>HLOOKUP($C$12,$B$15:$M$37,12,0)</f>
        <v>1.3186582780125011</v>
      </c>
    </row>
    <row r="27" spans="2:17" x14ac:dyDescent="0.4">
      <c r="B27" s="7">
        <f>$C$5</f>
        <v>25</v>
      </c>
      <c r="C27" s="7">
        <f>$C$6</f>
        <v>25</v>
      </c>
      <c r="D27" s="7">
        <f>$C$7</f>
        <v>0.5</v>
      </c>
      <c r="E27" s="8">
        <f>$C$8</f>
        <v>0.01</v>
      </c>
      <c r="F27" s="8">
        <f>$C$9</f>
        <v>0.25</v>
      </c>
      <c r="G27" s="2">
        <v>1.8194531283700464</v>
      </c>
      <c r="H27" s="2">
        <f t="shared" si="5"/>
        <v>0</v>
      </c>
      <c r="I27" s="2">
        <v>0.54644025549438124</v>
      </c>
      <c r="J27" s="2">
        <v>8.9658017063874995E-2</v>
      </c>
      <c r="K27" s="2">
        <v>-1.8695486783687032</v>
      </c>
      <c r="L27" s="2">
        <v>7.0045325831152345</v>
      </c>
      <c r="M27" s="2">
        <v>5.9207766294947426</v>
      </c>
      <c r="N27" s="1"/>
      <c r="O27" s="2"/>
      <c r="P27" s="6">
        <f>HLOOKUP($C$13,$B$15:$M$37,13,0)</f>
        <v>25</v>
      </c>
      <c r="Q27" s="3">
        <f>HLOOKUP($C$12,$B$15:$M$37,13,0)</f>
        <v>1.8194531283700464</v>
      </c>
    </row>
    <row r="28" spans="2:17" x14ac:dyDescent="0.4">
      <c r="B28" s="6">
        <f>B27+$B$16</f>
        <v>26</v>
      </c>
      <c r="C28" s="6">
        <f>C27+$C$16</f>
        <v>25</v>
      </c>
      <c r="D28" s="6">
        <f>D27+$D$16</f>
        <v>0.5</v>
      </c>
      <c r="E28" s="4">
        <f>E27+$E$16</f>
        <v>0.01</v>
      </c>
      <c r="F28" s="4">
        <f>F27+$F$16</f>
        <v>0.25</v>
      </c>
      <c r="G28" s="3">
        <v>2.4095770790344417</v>
      </c>
      <c r="H28" s="3">
        <f t="shared" si="5"/>
        <v>0.59012395066439538</v>
      </c>
      <c r="I28" s="3">
        <v>0.63252128166713784</v>
      </c>
      <c r="J28" s="3">
        <v>8.1964318230442854E-2</v>
      </c>
      <c r="K28" s="3">
        <v>-1.8718559850612169</v>
      </c>
      <c r="L28" s="3">
        <v>6.9259848904724235</v>
      </c>
      <c r="M28" s="3">
        <v>7.0179881221555718</v>
      </c>
      <c r="N28" s="1"/>
      <c r="O28" s="2"/>
      <c r="P28" s="6">
        <f>HLOOKUP($C$13,$B$15:$M$37,14,0)</f>
        <v>26</v>
      </c>
      <c r="Q28" s="3">
        <f>HLOOKUP($C$12,$B$15:$M$37,14,0)</f>
        <v>2.4095770790344417</v>
      </c>
    </row>
    <row r="29" spans="2:17" x14ac:dyDescent="0.4">
      <c r="B29" s="6">
        <f t="shared" ref="B29:B37" si="6">B28+$B$16</f>
        <v>27</v>
      </c>
      <c r="C29" s="6">
        <f t="shared" ref="C29:C37" si="7">C28+$C$16</f>
        <v>25</v>
      </c>
      <c r="D29" s="6">
        <f t="shared" ref="D29:D37" si="8">D28+$D$16</f>
        <v>0.5</v>
      </c>
      <c r="E29" s="4">
        <f t="shared" ref="E29:E37" si="9">E28+$E$16</f>
        <v>0.01</v>
      </c>
      <c r="F29" s="4">
        <f t="shared" ref="F29:F37" si="10">F28+$F$16</f>
        <v>0.25</v>
      </c>
      <c r="G29" s="3">
        <v>3.0814572091095229</v>
      </c>
      <c r="H29" s="3">
        <f t="shared" si="5"/>
        <v>1.2620040807394766</v>
      </c>
      <c r="I29" s="3">
        <v>0.70953610420065105</v>
      </c>
      <c r="J29" s="3">
        <v>7.1770911695583653E-2</v>
      </c>
      <c r="K29" s="3">
        <v>-1.7957912581080959</v>
      </c>
      <c r="L29" s="3">
        <v>6.5401243282600623</v>
      </c>
      <c r="M29" s="3">
        <v>8.0380088021540281</v>
      </c>
      <c r="N29" s="1"/>
      <c r="O29" s="2"/>
      <c r="P29" s="6">
        <f>HLOOKUP($C$13,$B$15:$M$37,15,0)</f>
        <v>27</v>
      </c>
      <c r="Q29" s="3">
        <f>HLOOKUP($C$12,$B$15:$M$37,15,0)</f>
        <v>3.0814572091095229</v>
      </c>
    </row>
    <row r="30" spans="2:17" x14ac:dyDescent="0.4">
      <c r="B30" s="6">
        <f t="shared" si="6"/>
        <v>28</v>
      </c>
      <c r="C30" s="6">
        <f t="shared" si="7"/>
        <v>25</v>
      </c>
      <c r="D30" s="6">
        <f t="shared" si="8"/>
        <v>0.5</v>
      </c>
      <c r="E30" s="4">
        <f t="shared" si="9"/>
        <v>0.01</v>
      </c>
      <c r="F30" s="4">
        <f t="shared" si="10"/>
        <v>0.25</v>
      </c>
      <c r="G30" s="3">
        <v>3.8250182446471293</v>
      </c>
      <c r="H30" s="3">
        <f t="shared" si="5"/>
        <v>2.0055651162770829</v>
      </c>
      <c r="I30" s="3">
        <v>0.77570160812491984</v>
      </c>
      <c r="J30" s="3">
        <v>6.0484234849815327E-2</v>
      </c>
      <c r="K30" s="3">
        <v>-1.6608100216489818</v>
      </c>
      <c r="L30" s="3">
        <v>5.927455015281903</v>
      </c>
      <c r="M30" s="3">
        <v>8.9473133914253129</v>
      </c>
      <c r="N30" s="1"/>
      <c r="O30" s="2"/>
      <c r="P30" s="6">
        <f>HLOOKUP($C$13,$B$15:$M$37,16,0)</f>
        <v>28</v>
      </c>
      <c r="Q30" s="3">
        <f>HLOOKUP($C$12,$B$15:$M$37,16,0)</f>
        <v>3.8250182446471293</v>
      </c>
    </row>
    <row r="31" spans="2:17" x14ac:dyDescent="0.4">
      <c r="B31" s="6">
        <f t="shared" si="6"/>
        <v>29</v>
      </c>
      <c r="C31" s="6">
        <f t="shared" si="7"/>
        <v>25</v>
      </c>
      <c r="D31" s="6">
        <f t="shared" si="8"/>
        <v>0.5</v>
      </c>
      <c r="E31" s="4">
        <f t="shared" si="9"/>
        <v>0.01</v>
      </c>
      <c r="F31" s="4">
        <f t="shared" si="10"/>
        <v>0.25</v>
      </c>
      <c r="G31" s="3">
        <v>4.6290704450299849</v>
      </c>
      <c r="H31" s="3">
        <f t="shared" si="5"/>
        <v>2.8096173166599385</v>
      </c>
      <c r="I31" s="3">
        <v>0.83053029973990222</v>
      </c>
      <c r="J31" s="3">
        <v>4.9262810580486233E-2</v>
      </c>
      <c r="K31" s="3">
        <v>-1.4892513230426756</v>
      </c>
      <c r="L31" s="3">
        <v>5.1787529622736166</v>
      </c>
      <c r="M31" s="3">
        <v>9.7281541237135905</v>
      </c>
      <c r="N31" s="1"/>
      <c r="O31" s="2"/>
      <c r="P31" s="6">
        <f>HLOOKUP($C$13,$B$15:$M$37,17,0)</f>
        <v>29</v>
      </c>
      <c r="Q31" s="3">
        <f>HLOOKUP($C$12,$B$15:$M$37,17,0)</f>
        <v>4.6290704450299849</v>
      </c>
    </row>
    <row r="32" spans="2:17" x14ac:dyDescent="0.4">
      <c r="B32" s="6">
        <f t="shared" si="6"/>
        <v>30</v>
      </c>
      <c r="C32" s="6">
        <f t="shared" si="7"/>
        <v>25</v>
      </c>
      <c r="D32" s="6">
        <f t="shared" si="8"/>
        <v>0.5</v>
      </c>
      <c r="E32" s="4">
        <f t="shared" si="9"/>
        <v>0.01</v>
      </c>
      <c r="F32" s="4">
        <f t="shared" si="10"/>
        <v>0.25</v>
      </c>
      <c r="G32" s="3">
        <v>5.4824600860587083</v>
      </c>
      <c r="H32" s="3">
        <f t="shared" si="5"/>
        <v>3.6630069576886619</v>
      </c>
      <c r="I32" s="3">
        <v>0.87452378692984678</v>
      </c>
      <c r="J32" s="3">
        <v>3.8919306434850358E-2</v>
      </c>
      <c r="K32" s="3">
        <v>-1.3021380286985331</v>
      </c>
      <c r="L32" s="3">
        <v>4.3784219739206653</v>
      </c>
      <c r="M32" s="3">
        <v>10.376626760918347</v>
      </c>
      <c r="N32" s="1"/>
      <c r="O32" s="2"/>
      <c r="P32" s="6">
        <f>HLOOKUP($C$13,$B$15:$M$37,18,0)</f>
        <v>30</v>
      </c>
      <c r="Q32" s="3">
        <f>HLOOKUP($C$12,$B$15:$M$37,18,0)</f>
        <v>5.4824600860587083</v>
      </c>
    </row>
    <row r="33" spans="2:17" x14ac:dyDescent="0.4">
      <c r="B33" s="6">
        <f t="shared" si="6"/>
        <v>31</v>
      </c>
      <c r="C33" s="6">
        <f t="shared" si="7"/>
        <v>25</v>
      </c>
      <c r="D33" s="6">
        <f t="shared" si="8"/>
        <v>0.5</v>
      </c>
      <c r="E33" s="4">
        <f t="shared" si="9"/>
        <v>0.01</v>
      </c>
      <c r="F33" s="4">
        <f t="shared" si="10"/>
        <v>0.25</v>
      </c>
      <c r="G33" s="3">
        <v>6.3748823151251557</v>
      </c>
      <c r="H33" s="3">
        <f t="shared" si="5"/>
        <v>4.5554291867551093</v>
      </c>
      <c r="I33" s="3">
        <v>0.9088204313695385</v>
      </c>
      <c r="J33" s="3">
        <v>2.9920720745200833E-2</v>
      </c>
      <c r="K33" s="3">
        <v>-1.116542155452618</v>
      </c>
      <c r="L33" s="3">
        <v>3.5942265795172514</v>
      </c>
      <c r="M33" s="3">
        <v>10.899275528665269</v>
      </c>
      <c r="N33" s="1"/>
      <c r="O33" s="2"/>
      <c r="P33" s="6">
        <f>HLOOKUP($C$13,$B$15:$M$37,19,0)</f>
        <v>31</v>
      </c>
      <c r="Q33" s="3">
        <f>HLOOKUP($C$12,$B$15:$M$37,19,0)</f>
        <v>6.3748823151251557</v>
      </c>
    </row>
    <row r="34" spans="2:17" x14ac:dyDescent="0.4">
      <c r="B34" s="6">
        <f t="shared" si="6"/>
        <v>32</v>
      </c>
      <c r="C34" s="6">
        <f t="shared" si="7"/>
        <v>25</v>
      </c>
      <c r="D34" s="6">
        <f t="shared" si="8"/>
        <v>0.5</v>
      </c>
      <c r="E34" s="4">
        <f t="shared" si="9"/>
        <v>0.01</v>
      </c>
      <c r="F34" s="4">
        <f t="shared" si="10"/>
        <v>0.25</v>
      </c>
      <c r="G34" s="3">
        <v>7.2973532238087131</v>
      </c>
      <c r="H34" s="3">
        <f t="shared" si="5"/>
        <v>5.4779000954386667</v>
      </c>
      <c r="I34" s="3">
        <v>0.93487593047529971</v>
      </c>
      <c r="J34" s="3">
        <v>2.2447438815117234E-2</v>
      </c>
      <c r="K34" s="3">
        <v>-0.94450480759776023</v>
      </c>
      <c r="L34" s="3">
        <v>2.8732721683350069</v>
      </c>
      <c r="M34" s="3">
        <v>11.309338275700439</v>
      </c>
      <c r="N34" s="1"/>
      <c r="O34" s="2"/>
      <c r="P34" s="6">
        <f>HLOOKUP($C$13,$B$15:$M$37,20,0)</f>
        <v>32</v>
      </c>
      <c r="Q34" s="3">
        <f>HLOOKUP($C$12,$B$15:$M$37,20,0)</f>
        <v>7.2973532238087131</v>
      </c>
    </row>
    <row r="35" spans="2:17" x14ac:dyDescent="0.4">
      <c r="B35" s="6">
        <f t="shared" si="6"/>
        <v>33</v>
      </c>
      <c r="C35" s="6">
        <f t="shared" si="7"/>
        <v>25</v>
      </c>
      <c r="D35" s="6">
        <f t="shared" si="8"/>
        <v>0.5</v>
      </c>
      <c r="E35" s="4">
        <f t="shared" si="9"/>
        <v>0.01</v>
      </c>
      <c r="F35" s="4">
        <f t="shared" si="10"/>
        <v>0.25</v>
      </c>
      <c r="G35" s="3">
        <v>8.2423971781911796</v>
      </c>
      <c r="H35" s="3">
        <f t="shared" si="5"/>
        <v>6.4229440498211332</v>
      </c>
      <c r="I35" s="3">
        <v>0.95421705796245682</v>
      </c>
      <c r="J35" s="3">
        <v>1.6475325557490136E-2</v>
      </c>
      <c r="K35" s="3">
        <v>-0.79314358022403508</v>
      </c>
      <c r="L35" s="3">
        <v>2.2427036915133458</v>
      </c>
      <c r="M35" s="3">
        <v>11.623382867284947</v>
      </c>
      <c r="N35" s="1"/>
      <c r="O35" s="2"/>
      <c r="P35" s="6">
        <f>HLOOKUP($C$13,$B$15:$M$37,21,0)</f>
        <v>33</v>
      </c>
      <c r="Q35" s="3">
        <f>HLOOKUP($C$12,$B$15:$M$37,21,0)</f>
        <v>8.2423971781911796</v>
      </c>
    </row>
    <row r="36" spans="2:17" x14ac:dyDescent="0.4">
      <c r="B36" s="6">
        <f t="shared" si="6"/>
        <v>34</v>
      </c>
      <c r="C36" s="6">
        <f t="shared" si="7"/>
        <v>25</v>
      </c>
      <c r="D36" s="6">
        <f t="shared" si="8"/>
        <v>0.5</v>
      </c>
      <c r="E36" s="4">
        <f t="shared" si="9"/>
        <v>0.01</v>
      </c>
      <c r="F36" s="4">
        <f t="shared" si="10"/>
        <v>0.25</v>
      </c>
      <c r="G36" s="3">
        <v>9.2040294213682827</v>
      </c>
      <c r="H36" s="3">
        <f t="shared" si="5"/>
        <v>7.3845762929982364</v>
      </c>
      <c r="I36" s="3">
        <v>0.96827812029217541</v>
      </c>
      <c r="J36" s="3">
        <v>1.1855934826659746E-2</v>
      </c>
      <c r="K36" s="3">
        <v>-0.6654699122987402</v>
      </c>
      <c r="L36" s="3">
        <v>1.7131825824523348</v>
      </c>
      <c r="M36" s="3">
        <v>11.858713334282839</v>
      </c>
      <c r="N36" s="1"/>
      <c r="O36" s="2"/>
      <c r="P36" s="6">
        <f>HLOOKUP($C$13,$B$15:$M$37,22,0)</f>
        <v>34</v>
      </c>
      <c r="Q36" s="3">
        <f>HLOOKUP($C$12,$B$15:$M$37,22,0)</f>
        <v>9.2040294213682827</v>
      </c>
    </row>
    <row r="37" spans="2:17" x14ac:dyDescent="0.4">
      <c r="B37" s="6">
        <f t="shared" si="6"/>
        <v>35</v>
      </c>
      <c r="C37" s="6">
        <f t="shared" si="7"/>
        <v>25</v>
      </c>
      <c r="D37" s="6">
        <f t="shared" si="8"/>
        <v>0.5</v>
      </c>
      <c r="E37" s="4">
        <f t="shared" si="9"/>
        <v>0.01</v>
      </c>
      <c r="F37" s="4">
        <f t="shared" si="10"/>
        <v>0.25</v>
      </c>
      <c r="G37" s="3">
        <v>10.177613068850224</v>
      </c>
      <c r="H37" s="3">
        <f t="shared" si="5"/>
        <v>8.3581599404801779</v>
      </c>
      <c r="I37" s="3">
        <v>0.97831074476591551</v>
      </c>
      <c r="J37" s="3">
        <v>8.3816236880375657E-3</v>
      </c>
      <c r="K37" s="3">
        <v>-0.56149166178725618</v>
      </c>
      <c r="L37" s="3">
        <v>1.2834361272307526</v>
      </c>
      <c r="M37" s="3">
        <v>12.031631498978408</v>
      </c>
      <c r="N37" s="1"/>
      <c r="O37" s="2"/>
      <c r="P37" s="6">
        <f>HLOOKUP($C$13,$B$15:$M$37,23,0)</f>
        <v>35</v>
      </c>
      <c r="Q37" s="3">
        <f>HLOOKUP($C$12,$B$15:$M$37,23,0)</f>
        <v>10.177613068850224</v>
      </c>
    </row>
  </sheetData>
  <mergeCells count="11">
    <mergeCell ref="K15:K16"/>
    <mergeCell ref="L15:L16"/>
    <mergeCell ref="M15:M16"/>
    <mergeCell ref="P14:Q14"/>
    <mergeCell ref="B3:C3"/>
    <mergeCell ref="B11:C11"/>
    <mergeCell ref="G15:G16"/>
    <mergeCell ref="H15:H16"/>
    <mergeCell ref="I15:I16"/>
    <mergeCell ref="J15:J16"/>
    <mergeCell ref="L3:M3"/>
  </mergeCells>
  <phoneticPr fontId="1" type="noConversion"/>
  <dataValidations count="3">
    <dataValidation type="list" allowBlank="1" showInputMessage="1" showErrorMessage="1" sqref="C4" xr:uid="{00000000-0002-0000-0000-000000000000}">
      <formula1>"Call,Put"</formula1>
    </dataValidation>
    <dataValidation type="list" allowBlank="1" showInputMessage="1" showErrorMessage="1" sqref="C12" xr:uid="{4345C37E-5ABA-4260-956F-FAC9FA972F7A}">
      <formula1>$O$15:$O$25</formula1>
    </dataValidation>
    <dataValidation type="list" allowBlank="1" showInputMessage="1" showErrorMessage="1" sqref="C13" xr:uid="{66451771-0660-4EB1-B24D-576E85AE2B9E}">
      <formula1>$O$15:$O$19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" x14ac:dyDescent="0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7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Concords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109117</dc:creator>
  <cp:lastModifiedBy>黃子瑋</cp:lastModifiedBy>
  <dcterms:created xsi:type="dcterms:W3CDTF">2020-11-11T01:35:53Z</dcterms:created>
  <dcterms:modified xsi:type="dcterms:W3CDTF">2020-11-11T16:24:19Z</dcterms:modified>
</cp:coreProperties>
</file>