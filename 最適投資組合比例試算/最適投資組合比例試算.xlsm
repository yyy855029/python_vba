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黃子瑋\Desktop\xlwings測試\投資組合建構\"/>
    </mc:Choice>
  </mc:AlternateContent>
  <xr:revisionPtr revIDLastSave="0" documentId="13_ncr:1_{686E36E9-41D2-40FA-814E-F81D8B082722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0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C5" i="1" l="1"/>
</calcChain>
</file>

<file path=xl/sharedStrings.xml><?xml version="1.0" encoding="utf-8"?>
<sst xmlns="http://schemas.openxmlformats.org/spreadsheetml/2006/main" count="36" uniqueCount="30">
  <si>
    <t>A.</t>
    <phoneticPr fontId="1" type="noConversion"/>
  </si>
  <si>
    <t>組合報酬率</t>
    <phoneticPr fontId="1" type="noConversion"/>
  </si>
  <si>
    <t>B.</t>
    <phoneticPr fontId="1" type="noConversion"/>
  </si>
  <si>
    <t>組合標準差</t>
    <phoneticPr fontId="1" type="noConversion"/>
  </si>
  <si>
    <t>C.</t>
    <phoneticPr fontId="1" type="noConversion"/>
  </si>
  <si>
    <t>夏普值</t>
  </si>
  <si>
    <t>固定標準差</t>
    <phoneticPr fontId="1" type="noConversion"/>
  </si>
  <si>
    <t>固定報酬率</t>
    <phoneticPr fontId="1" type="noConversion"/>
  </si>
  <si>
    <t>-</t>
    <phoneticPr fontId="1" type="noConversion"/>
  </si>
  <si>
    <t>規劃求解目標式  f(w)</t>
    <phoneticPr fontId="1" type="noConversion"/>
  </si>
  <si>
    <t>限制條件</t>
    <phoneticPr fontId="1" type="noConversion"/>
  </si>
  <si>
    <t>最適投資組合比例試算</t>
    <phoneticPr fontId="1" type="noConversion"/>
  </si>
  <si>
    <t>權重限制</t>
    <phoneticPr fontId="1" type="noConversion"/>
  </si>
  <si>
    <t>權重合計</t>
    <phoneticPr fontId="1" type="noConversion"/>
  </si>
  <si>
    <t>標的名稱</t>
    <phoneticPr fontId="1" type="noConversion"/>
  </si>
  <si>
    <t>資產一</t>
    <phoneticPr fontId="1" type="noConversion"/>
  </si>
  <si>
    <t>資產二</t>
    <phoneticPr fontId="1" type="noConversion"/>
  </si>
  <si>
    <t>資產三</t>
    <phoneticPr fontId="1" type="noConversion"/>
  </si>
  <si>
    <t>下限</t>
    <phoneticPr fontId="1" type="noConversion"/>
  </si>
  <si>
    <t>上限</t>
    <phoneticPr fontId="1" type="noConversion"/>
  </si>
  <si>
    <t>最適投資權重w</t>
    <phoneticPr fontId="1" type="noConversion"/>
  </si>
  <si>
    <t>無風險利率</t>
    <phoneticPr fontId="1" type="noConversion"/>
  </si>
  <si>
    <t>共變數矩陣</t>
    <phoneticPr fontId="1" type="noConversion"/>
  </si>
  <si>
    <t>預期報酬</t>
    <phoneticPr fontId="1" type="noConversion"/>
  </si>
  <si>
    <t>資產一</t>
    <phoneticPr fontId="1" type="noConversion"/>
  </si>
  <si>
    <t>資產二</t>
    <phoneticPr fontId="1" type="noConversion"/>
  </si>
  <si>
    <t>資產三</t>
    <phoneticPr fontId="1" type="noConversion"/>
  </si>
  <si>
    <t>&lt;-固定風險(標準差)下，報酬最高</t>
  </si>
  <si>
    <t>&lt;-固定報酬下，風險最低</t>
  </si>
  <si>
    <t>&lt;-市場投資組合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</si>
</sst>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1291852</xdr:colOff>
      <xdr:row>2</xdr:row>
      <xdr:rowOff>2802</xdr:rowOff>
    </xdr:from>
    <xdr:to>
      <xdr:col>5</xdr:col>
      <xdr:colOff>2504702</xdr:colOff>
      <xdr:row>5</xdr:row>
      <xdr:rowOff>2801</xdr:rowOff>
    </xdr:to>
    <xdr:sp macro="[0]!run_max_mea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67587" y="572434"/>
          <a:ext cx="1212850" cy="644338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ysClr val="windowText" lastClr="000000"/>
              </a:solidFill>
            </a:rPr>
            <a:t>Max Mean</a:t>
          </a:r>
          <a:endParaRPr lang="zh-TW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1288677</xdr:colOff>
      <xdr:row>6</xdr:row>
      <xdr:rowOff>9338</xdr:rowOff>
    </xdr:from>
    <xdr:to>
      <xdr:col>5</xdr:col>
      <xdr:colOff>2502646</xdr:colOff>
      <xdr:row>9</xdr:row>
      <xdr:rowOff>0</xdr:rowOff>
    </xdr:to>
    <xdr:sp macro="[0]!run_min_var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864412" y="1438088"/>
          <a:ext cx="1213969" cy="635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zh-TW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Min Var</a:t>
          </a:r>
          <a:endParaRPr lang="zh-TW" altLang="en-US" sz="14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1288677</xdr:colOff>
      <xdr:row>9</xdr:row>
      <xdr:rowOff>205442</xdr:rowOff>
    </xdr:from>
    <xdr:to>
      <xdr:col>5</xdr:col>
      <xdr:colOff>2502647</xdr:colOff>
      <xdr:row>13</xdr:row>
      <xdr:rowOff>9338</xdr:rowOff>
    </xdr:to>
    <xdr:sp macro="[0]!run_sharpe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864412" y="2278530"/>
          <a:ext cx="1213970" cy="66301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zh-TW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Sharpe</a:t>
          </a:r>
          <a:endParaRPr lang="zh-TW" altLang="en-US" sz="14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21"/>
  <sheetViews>
    <sheetView tabSelected="1" zoomScale="68" zoomScaleNormal="68" workbookViewId="0">
      <selection activeCell="G22" sqref="G22"/>
    </sheetView>
  </sheetViews>
  <sheetFormatPr defaultRowHeight="17" x14ac:dyDescent="0.4"/>
  <cols>
    <col min="1" max="1" width="3.26953125" bestFit="1" customWidth="1"/>
    <col min="2" max="2" width="12.36328125" bestFit="1" customWidth="1"/>
    <col min="3" max="3" width="21.36328125" bestFit="1" customWidth="1"/>
    <col min="4" max="4" width="12.36328125" bestFit="1" customWidth="1"/>
    <col min="5" max="5" width="16.26953125" bestFit="1" customWidth="1"/>
    <col min="6" max="6" width="35.90625" bestFit="1" customWidth="1"/>
    <col min="7" max="7" width="34.81640625" bestFit="1" customWidth="1"/>
    <col min="8" max="8" width="12.36328125" bestFit="1" customWidth="1"/>
    <col min="9" max="9" width="12.6328125" bestFit="1" customWidth="1"/>
    <col min="10" max="10" width="12.36328125" bestFit="1" customWidth="1"/>
    <col min="11" max="11" width="12.36328125" customWidth="1"/>
    <col min="12" max="12" width="12.6328125" bestFit="1" customWidth="1"/>
  </cols>
  <sheetData>
    <row r="1" spans="1:15" ht="28" x14ac:dyDescent="0.4">
      <c r="A1" s="10" t="s">
        <v>11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x14ac:dyDescent="0.4">
      <c r="A2" s="9" t="s">
        <v>9</v>
      </c>
      <c r="B2" s="9"/>
      <c r="C2" s="9"/>
      <c r="D2" s="9" t="s">
        <v>10</v>
      </c>
      <c r="E2" s="9"/>
      <c r="F2" s="7"/>
      <c r="G2" s="1"/>
      <c r="H2" s="1"/>
      <c r="I2" s="1"/>
      <c r="J2" s="1"/>
      <c r="K2" s="1"/>
      <c r="L2" s="1"/>
      <c r="M2" s="1"/>
      <c r="N2" s="1"/>
      <c r="O2" s="1"/>
    </row>
    <row r="3" spans="1:15" x14ac:dyDescent="0.4">
      <c r="A3" s="2" t="s">
        <v>0</v>
      </c>
      <c r="B3" s="2" t="s">
        <v>1</v>
      </c>
      <c r="C3" s="3">
        <v>9.4592999999999997E-2</v>
      </c>
      <c r="D3" s="2" t="s">
        <v>6</v>
      </c>
      <c r="E3" s="3">
        <v>0.15</v>
      </c>
      <c r="G3" s="13" t="s">
        <v>27</v>
      </c>
      <c r="H3" s="1"/>
      <c r="I3" s="1"/>
      <c r="J3" s="1"/>
      <c r="K3" s="1"/>
      <c r="L3" s="1"/>
      <c r="M3" s="1"/>
      <c r="N3" s="1"/>
      <c r="O3" s="1"/>
    </row>
    <row r="4" spans="1:15" x14ac:dyDescent="0.4">
      <c r="A4" s="2" t="s">
        <v>2</v>
      </c>
      <c r="B4" s="2" t="s">
        <v>3</v>
      </c>
      <c r="C4" s="3">
        <v>0.1499991408275394</v>
      </c>
      <c r="D4" s="2" t="s">
        <v>7</v>
      </c>
      <c r="E4" s="3">
        <v>0.1</v>
      </c>
      <c r="G4" s="13"/>
      <c r="H4" s="1"/>
      <c r="I4" s="1"/>
      <c r="J4" s="1"/>
      <c r="K4" s="1"/>
      <c r="L4" s="1"/>
      <c r="M4" s="1"/>
      <c r="N4" s="1"/>
      <c r="O4" s="1"/>
    </row>
    <row r="5" spans="1:15" x14ac:dyDescent="0.4">
      <c r="A5" s="2" t="s">
        <v>4</v>
      </c>
      <c r="B5" s="2" t="s">
        <v>5</v>
      </c>
      <c r="C5" s="4">
        <f>(C3-J7)/C4</f>
        <v>0.56395656357298929</v>
      </c>
      <c r="D5" s="2" t="s">
        <v>8</v>
      </c>
      <c r="E5" s="2"/>
      <c r="G5" s="13"/>
      <c r="H5" s="1"/>
      <c r="I5" s="1"/>
      <c r="J5" s="1"/>
      <c r="K5" s="1"/>
      <c r="L5" s="1"/>
      <c r="M5" s="1"/>
      <c r="N5" s="1"/>
      <c r="O5" s="1"/>
    </row>
    <row r="6" spans="1:15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4">
      <c r="A7" s="1"/>
      <c r="B7" s="5" t="s">
        <v>12</v>
      </c>
      <c r="C7" s="6">
        <v>1</v>
      </c>
      <c r="D7" s="5" t="s">
        <v>13</v>
      </c>
      <c r="E7" s="6">
        <f>SUM(E10:E12)</f>
        <v>0.99998999999999993</v>
      </c>
      <c r="F7" s="1"/>
      <c r="G7" s="9" t="s">
        <v>28</v>
      </c>
      <c r="I7" s="8" t="s">
        <v>21</v>
      </c>
      <c r="J7" s="3">
        <v>0.01</v>
      </c>
      <c r="K7" s="1"/>
      <c r="L7" s="1"/>
      <c r="M7" s="1"/>
      <c r="N7" s="1"/>
      <c r="O7" s="1"/>
    </row>
    <row r="8" spans="1:15" x14ac:dyDescent="0.4">
      <c r="A8" s="1"/>
      <c r="B8" s="1"/>
      <c r="C8" s="1"/>
      <c r="D8" s="1"/>
      <c r="E8" s="1"/>
      <c r="F8" s="1"/>
      <c r="G8" s="9"/>
      <c r="I8" s="1"/>
      <c r="J8" s="1"/>
      <c r="K8" s="1"/>
      <c r="L8" s="1"/>
      <c r="M8" s="1"/>
      <c r="N8" s="1"/>
      <c r="O8" s="1"/>
    </row>
    <row r="9" spans="1:15" x14ac:dyDescent="0.4">
      <c r="A9" s="1"/>
      <c r="B9" s="5" t="s">
        <v>14</v>
      </c>
      <c r="C9" s="2" t="s">
        <v>18</v>
      </c>
      <c r="D9" s="5" t="s">
        <v>19</v>
      </c>
      <c r="E9" s="2" t="s">
        <v>20</v>
      </c>
      <c r="F9" s="1"/>
      <c r="G9" s="9"/>
      <c r="I9" s="11" t="s">
        <v>23</v>
      </c>
      <c r="J9" s="12"/>
      <c r="K9" s="1"/>
      <c r="L9" s="8" t="s">
        <v>22</v>
      </c>
      <c r="M9" s="8" t="s">
        <v>15</v>
      </c>
      <c r="N9" s="8" t="s">
        <v>16</v>
      </c>
      <c r="O9" s="8" t="s">
        <v>17</v>
      </c>
    </row>
    <row r="10" spans="1:15" x14ac:dyDescent="0.4">
      <c r="A10" s="1"/>
      <c r="B10" s="2" t="s">
        <v>15</v>
      </c>
      <c r="C10" s="6">
        <v>0</v>
      </c>
      <c r="D10" s="6">
        <v>1</v>
      </c>
      <c r="E10" s="3">
        <v>0.28110000000000002</v>
      </c>
      <c r="F10" s="1"/>
      <c r="G10" s="1"/>
      <c r="I10" s="8" t="s">
        <v>24</v>
      </c>
      <c r="J10" s="3">
        <v>0.03</v>
      </c>
      <c r="K10" s="1"/>
      <c r="L10" s="8" t="s">
        <v>15</v>
      </c>
      <c r="M10" s="3">
        <v>0.01</v>
      </c>
      <c r="N10" s="3">
        <v>0.02</v>
      </c>
      <c r="O10" s="3">
        <v>-0.01</v>
      </c>
    </row>
    <row r="11" spans="1:15" x14ac:dyDescent="0.4">
      <c r="A11" s="1"/>
      <c r="B11" s="5" t="s">
        <v>16</v>
      </c>
      <c r="C11" s="6">
        <v>0</v>
      </c>
      <c r="D11" s="6">
        <v>1</v>
      </c>
      <c r="E11" s="3">
        <v>2.6700000000000001E-3</v>
      </c>
      <c r="F11" s="1"/>
      <c r="G11" s="9" t="s">
        <v>29</v>
      </c>
      <c r="I11" s="8" t="s">
        <v>25</v>
      </c>
      <c r="J11" s="3">
        <v>0.08</v>
      </c>
      <c r="K11" s="1"/>
      <c r="L11" s="8" t="s">
        <v>16</v>
      </c>
      <c r="M11" s="3">
        <v>0.02</v>
      </c>
      <c r="N11" s="3">
        <v>0.03</v>
      </c>
      <c r="O11" s="3">
        <v>1.4999999999999999E-2</v>
      </c>
    </row>
    <row r="12" spans="1:15" x14ac:dyDescent="0.4">
      <c r="A12" s="1"/>
      <c r="B12" s="2" t="s">
        <v>17</v>
      </c>
      <c r="C12" s="6">
        <v>0</v>
      </c>
      <c r="D12" s="6">
        <v>1</v>
      </c>
      <c r="E12" s="3">
        <v>0.71621999999999997</v>
      </c>
      <c r="F12" s="1"/>
      <c r="G12" s="9"/>
      <c r="I12" s="8" t="s">
        <v>26</v>
      </c>
      <c r="J12" s="3">
        <v>0.12</v>
      </c>
      <c r="K12" s="1"/>
      <c r="L12" s="8" t="s">
        <v>17</v>
      </c>
      <c r="M12" s="3">
        <v>-0.01</v>
      </c>
      <c r="N12" s="3">
        <v>1.4999999999999999E-2</v>
      </c>
      <c r="O12" s="3">
        <v>0.05</v>
      </c>
    </row>
    <row r="13" spans="1:15" x14ac:dyDescent="0.4">
      <c r="G13" s="9"/>
    </row>
    <row r="19" spans="3:3" x14ac:dyDescent="0.4">
      <c r="C19" s="1"/>
    </row>
    <row r="20" spans="3:3" x14ac:dyDescent="0.4">
      <c r="C20" s="1"/>
    </row>
    <row r="21" spans="3:3" x14ac:dyDescent="0.4">
      <c r="C21" s="1"/>
    </row>
  </sheetData>
  <mergeCells count="7">
    <mergeCell ref="G11:G13"/>
    <mergeCell ref="I9:J9"/>
    <mergeCell ref="A2:C2"/>
    <mergeCell ref="D2:E2"/>
    <mergeCell ref="A1:O1"/>
    <mergeCell ref="G3:G5"/>
    <mergeCell ref="G7:G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7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黃子瑋</dc:creator>
  <cp:lastModifiedBy>黃子瑋</cp:lastModifiedBy>
  <dcterms:created xsi:type="dcterms:W3CDTF">2020-06-21T13:43:47Z</dcterms:created>
  <dcterms:modified xsi:type="dcterms:W3CDTF">2020-11-11T12:27:47Z</dcterms:modified>
</cp:coreProperties>
</file>